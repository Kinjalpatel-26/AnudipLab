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kinjal AF05213457\"/>
    </mc:Choice>
  </mc:AlternateContent>
  <xr:revisionPtr revIDLastSave="0" documentId="8_{50AC0122-1CB3-46A9-8E8A-2BA21DCBAEBB}" xr6:coauthVersionLast="37" xr6:coauthVersionMax="37" xr10:uidLastSave="{00000000-0000-0000-0000-000000000000}"/>
  <bookViews>
    <workbookView xWindow="0" yWindow="0" windowWidth="24000" windowHeight="88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  <c r="J3" i="1"/>
  <c r="J4" i="1"/>
  <c r="J5" i="1"/>
  <c r="J6" i="1"/>
  <c r="J7" i="1"/>
  <c r="J2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<sst xmlns="http://schemas.openxmlformats.org/spreadsheetml/2006/main" count="33" uniqueCount="31">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</sst>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64" workbookViewId="0">
      <selection activeCell="L9" sqref="L9"/>
    </sheetView>
  </sheetViews>
  <sheetFormatPr defaultRowHeight="15" x14ac:dyDescent="0.25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7109375" customWidth="1"/>
    <col min="7" max="7" width="19.7109375" customWidth="1"/>
    <col min="8" max="8" width="13.5703125" customWidth="1"/>
    <col min="9" max="9" width="11.28515625" customWidth="1"/>
    <col min="10" max="10" width="36.28515625" customWidth="1"/>
    <col min="11" max="11" width="24.28515625" customWidth="1"/>
    <col min="12" max="13" width="28.7109375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IF(C2&gt;=D2,"Yes","No")</f>
        <v>No</v>
      </c>
      <c r="G2" s="3" t="str">
        <f>IF(AND(E2="NORTH",C2&gt;200),"Elligible","Not Eligible")</f>
        <v>Not Eligible</v>
      </c>
      <c r="H2" s="3">
        <f>IF(C2&gt;=200,10%,IF(C2&gt;=150,7%,5%))</f>
        <v>0.05</v>
      </c>
      <c r="I2" s="3">
        <f>IF(C2&gt;=D2,C2*10%,C2*5%)</f>
        <v>6</v>
      </c>
      <c r="J2" s="3" t="str">
        <f>IF(C2&gt;=200,"Excellent",IF(C2&gt;150,"Good","Need improvement"))</f>
        <v>Need improvement</v>
      </c>
      <c r="K2" s="3" t="str">
        <f>IF(C2&gt;200,"High",IF(C2&gt;100,"Medium","Low"))</f>
        <v>Medium</v>
      </c>
      <c r="L2" s="3" t="str">
        <f>IF(AND(C2&gt;=150,E2="NORTH"),"$500","$300")</f>
        <v>$300</v>
      </c>
      <c r="M2" s="4" t="str">
        <f>IF(C2&gt;=PERCENTILE(C2:C7,25%),"Yes","No")</f>
        <v>No</v>
      </c>
    </row>
    <row r="3" spans="1:13" x14ac:dyDescent="0.25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IF(C3&gt;=D3,"Yes","No")</f>
        <v>Yes</v>
      </c>
      <c r="G3" s="3" t="str">
        <f t="shared" ref="G3:G7" si="1">IF(AND(E3="NORTH",C3&gt;200),"Elligible","Not Eligible")</f>
        <v>Not Eligible</v>
      </c>
      <c r="H3" s="3">
        <f t="shared" ref="H3:H7" si="2">IF(C3&gt;=200,10%,IF(C3&gt;=150,7%,5%))</f>
        <v>7.0000000000000007E-2</v>
      </c>
      <c r="I3" s="3">
        <f t="shared" ref="I3:I7" si="3">IF(C3&gt;=D3,C3*10%,C3*5%)</f>
        <v>15</v>
      </c>
      <c r="J3" s="3" t="str">
        <f t="shared" ref="J3:J7" si="4">IF(C3&gt;=200,"Excellent",IF(C3&gt;150,"Good","Need improvement"))</f>
        <v>Need improvement</v>
      </c>
      <c r="K3" s="3" t="str">
        <f t="shared" ref="K3:K7" si="5">IF(C3&gt;200,"High",IF(C3&gt;100,"Medium","Low"))</f>
        <v>Medium</v>
      </c>
      <c r="L3" s="3" t="str">
        <f t="shared" ref="L3:L7" si="6">IF(AND(C3&gt;=150,E3="NORTH"),"$500","$300")</f>
        <v>$300</v>
      </c>
      <c r="M3" s="4" t="str">
        <f t="shared" ref="M3:M7" si="7">IF(C3&gt;=PERCENTILE(C3:C8,25%),"Yes","No")</f>
        <v>Yes</v>
      </c>
    </row>
    <row r="4" spans="1:13" x14ac:dyDescent="0.25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Yes</v>
      </c>
      <c r="G4" s="3" t="str">
        <f t="shared" si="1"/>
        <v>Not Eligible</v>
      </c>
      <c r="H4" s="3">
        <f t="shared" si="2"/>
        <v>0.1</v>
      </c>
      <c r="I4" s="3">
        <f t="shared" si="3"/>
        <v>20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4" t="str">
        <f t="shared" si="7"/>
        <v>Yes</v>
      </c>
    </row>
    <row r="5" spans="1:13" x14ac:dyDescent="0.25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</v>
      </c>
      <c r="G5" s="3" t="str">
        <f t="shared" si="1"/>
        <v>Not Eligible</v>
      </c>
      <c r="H5" s="3">
        <f t="shared" si="2"/>
        <v>0.05</v>
      </c>
      <c r="I5" s="3">
        <f t="shared" si="3"/>
        <v>4.5</v>
      </c>
      <c r="J5" s="3" t="str">
        <f t="shared" si="4"/>
        <v>Need improvement</v>
      </c>
      <c r="K5" s="3" t="str">
        <f t="shared" si="5"/>
        <v>Low</v>
      </c>
      <c r="L5" s="3" t="str">
        <f t="shared" si="6"/>
        <v>$300</v>
      </c>
      <c r="M5" s="4" t="str">
        <f t="shared" si="7"/>
        <v>No</v>
      </c>
    </row>
    <row r="6" spans="1:13" x14ac:dyDescent="0.25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Yes</v>
      </c>
      <c r="G6" s="3" t="str">
        <f t="shared" si="1"/>
        <v>Elligible</v>
      </c>
      <c r="H6" s="3">
        <f t="shared" si="2"/>
        <v>0.1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4" t="str">
        <f t="shared" si="7"/>
        <v>Yes</v>
      </c>
    </row>
    <row r="7" spans="1:13" x14ac:dyDescent="0.25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</v>
      </c>
      <c r="G7" s="3" t="str">
        <f t="shared" si="1"/>
        <v>Not Eligible</v>
      </c>
      <c r="H7" s="3">
        <f t="shared" si="2"/>
        <v>0.05</v>
      </c>
      <c r="I7" s="3">
        <f t="shared" si="3"/>
        <v>6.5</v>
      </c>
      <c r="J7" s="3" t="str">
        <f t="shared" si="4"/>
        <v>Need improvement</v>
      </c>
      <c r="K7" s="3" t="str">
        <f t="shared" si="5"/>
        <v>Medium</v>
      </c>
      <c r="L7" s="3" t="str">
        <f t="shared" si="6"/>
        <v>$300</v>
      </c>
      <c r="M7" s="4" t="str">
        <f t="shared" si="7"/>
        <v>Yes</v>
      </c>
    </row>
    <row r="10" spans="1:13" x14ac:dyDescent="0.25">
      <c r="A10" s="1" t="s">
        <v>23</v>
      </c>
    </row>
    <row r="11" spans="1:13" x14ac:dyDescent="0.25">
      <c r="A11" s="1" t="s">
        <v>24</v>
      </c>
    </row>
    <row r="12" spans="1:13" x14ac:dyDescent="0.25">
      <c r="A12" s="1" t="s">
        <v>25</v>
      </c>
    </row>
    <row r="13" spans="1:13" x14ac:dyDescent="0.25">
      <c r="A13" s="1" t="s">
        <v>26</v>
      </c>
    </row>
    <row r="14" spans="1:13" ht="16.899999999999999" customHeight="1" x14ac:dyDescent="0.25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</row>
    <row r="15" spans="1:13" ht="16.5" customHeight="1" x14ac:dyDescent="0.25">
      <c r="A15" s="7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1" t="s">
        <v>29</v>
      </c>
    </row>
    <row r="17" spans="1:1" x14ac:dyDescent="0.25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2026-07-02T07:21:34Z</dcterms:created>
  <dcterms:modified xsi:type="dcterms:W3CDTF">2026-07-03T09:07:36Z</dcterms:modified>
</cp:coreProperties>
</file>